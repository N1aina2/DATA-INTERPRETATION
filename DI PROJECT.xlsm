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 interpretation\"/>
    </mc:Choice>
  </mc:AlternateContent>
  <xr:revisionPtr revIDLastSave="0" documentId="13_ncr:1_{D4307347-8DAF-420F-9D72-5B31022303AA}" xr6:coauthVersionLast="47" xr6:coauthVersionMax="47" xr10:uidLastSave="{00000000-0000-0000-0000-000000000000}"/>
  <bookViews>
    <workbookView xWindow="-108" yWindow="-108" windowWidth="23256" windowHeight="12456" activeTab="1" xr2:uid="{187F2F4F-798C-4288-9B7D-AF618C7ACEB2}"/>
  </bookViews>
  <sheets>
    <sheet name="Sheet2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F14" i="1"/>
  <c r="C15" i="1"/>
  <c r="D15" i="1"/>
  <c r="E15" i="1"/>
  <c r="F15" i="1"/>
  <c r="C16" i="1"/>
  <c r="D16" i="1"/>
  <c r="E16" i="1"/>
  <c r="F16" i="1"/>
</calcChain>
</file>

<file path=xl/sharedStrings.xml><?xml version="1.0" encoding="utf-8"?>
<sst xmlns="http://schemas.openxmlformats.org/spreadsheetml/2006/main" count="22" uniqueCount="22">
  <si>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</si>
  <si>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</si>
  <si>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</si>
  <si>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</si>
  <si>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</si>
  <si>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</si>
  <si>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</si>
  <si>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</si>
  <si>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</si>
  <si>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</si>
  <si>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</si>
  <si>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</si>
  <si>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</si>
  <si>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</si>
  <si>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Avg Temp (°C)</t>
  </si>
  <si>
    <t>Rainfall (mm)</t>
  </si>
  <si>
    <t>Humidity (%)</t>
  </si>
  <si>
    <t>Wind Speed (km/h)</t>
  </si>
  <si>
    <t>Average</t>
  </si>
  <si>
    <t>Maximum</t>
  </si>
  <si>
    <t>Minimum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</si>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</sst>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Avg Temp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Sheet1!$C$2:$C$37</c:f>
              <c:numCache>
                <c:formatCode>General</c:formatCode>
                <c:ptCount val="36"/>
                <c:pt idx="0">
                  <c:v>27.5</c:v>
                </c:pt>
                <c:pt idx="1">
                  <c:v>24.3</c:v>
                </c:pt>
                <c:pt idx="2">
                  <c:v>28.2</c:v>
                </c:pt>
                <c:pt idx="3">
                  <c:v>32.6</c:v>
                </c:pt>
                <c:pt idx="4">
                  <c:v>23.8</c:v>
                </c:pt>
                <c:pt idx="5">
                  <c:v>23.8</c:v>
                </c:pt>
                <c:pt idx="6">
                  <c:v>32.9</c:v>
                </c:pt>
                <c:pt idx="7">
                  <c:v>28.8</c:v>
                </c:pt>
                <c:pt idx="8">
                  <c:v>22.7</c:v>
                </c:pt>
                <c:pt idx="9">
                  <c:v>27.7</c:v>
                </c:pt>
                <c:pt idx="10">
                  <c:v>22.7</c:v>
                </c:pt>
                <c:pt idx="11">
                  <c:v>22.7</c:v>
                </c:pt>
                <c:pt idx="12">
                  <c:v>26.474999999999998</c:v>
                </c:pt>
                <c:pt idx="13">
                  <c:v>32.9</c:v>
                </c:pt>
                <c:pt idx="14">
                  <c:v>22.7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3-46ED-AD37-F734C79AA582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Rainfall (mm)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Sheet1!$D$2:$D$37</c:f>
              <c:numCache>
                <c:formatCode>General</c:formatCode>
                <c:ptCount val="36"/>
                <c:pt idx="0">
                  <c:v>71.3</c:v>
                </c:pt>
                <c:pt idx="1">
                  <c:v>218.5</c:v>
                </c:pt>
                <c:pt idx="2">
                  <c:v>110.3</c:v>
                </c:pt>
                <c:pt idx="3">
                  <c:v>189.7</c:v>
                </c:pt>
                <c:pt idx="4">
                  <c:v>190.1</c:v>
                </c:pt>
                <c:pt idx="5">
                  <c:v>160.69999999999999</c:v>
                </c:pt>
                <c:pt idx="6">
                  <c:v>27.1</c:v>
                </c:pt>
                <c:pt idx="7">
                  <c:v>250.6</c:v>
                </c:pt>
                <c:pt idx="8">
                  <c:v>96.2</c:v>
                </c:pt>
                <c:pt idx="9">
                  <c:v>56</c:v>
                </c:pt>
                <c:pt idx="10">
                  <c:v>12.2</c:v>
                </c:pt>
                <c:pt idx="11">
                  <c:v>177.3</c:v>
                </c:pt>
                <c:pt idx="12">
                  <c:v>130</c:v>
                </c:pt>
                <c:pt idx="13">
                  <c:v>250.6</c:v>
                </c:pt>
                <c:pt idx="14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23-46ED-AD37-F734C79AA582}"/>
            </c:ext>
          </c:extLst>
        </c:ser>
        <c:ser>
          <c:idx val="2"/>
          <c:order val="2"/>
          <c:tx>
            <c:strRef>
              <c:f>Sheet1!$E$1</c:f>
              <c:strCache>
                <c:ptCount val="1"/>
                <c:pt idx="0">
                  <c:v>Humidity 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Sheet1!$E$2:$E$37</c:f>
              <c:numCache>
                <c:formatCode>General</c:formatCode>
                <c:ptCount val="36"/>
                <c:pt idx="0">
                  <c:v>75.099999999999994</c:v>
                </c:pt>
                <c:pt idx="1">
                  <c:v>79.8</c:v>
                </c:pt>
                <c:pt idx="2">
                  <c:v>84.5</c:v>
                </c:pt>
                <c:pt idx="3">
                  <c:v>56.9</c:v>
                </c:pt>
                <c:pt idx="4">
                  <c:v>58.8</c:v>
                </c:pt>
                <c:pt idx="5">
                  <c:v>44.7</c:v>
                </c:pt>
                <c:pt idx="6">
                  <c:v>68.900000000000006</c:v>
                </c:pt>
                <c:pt idx="7">
                  <c:v>41.8</c:v>
                </c:pt>
                <c:pt idx="8">
                  <c:v>63.3</c:v>
                </c:pt>
                <c:pt idx="9">
                  <c:v>67.099999999999994</c:v>
                </c:pt>
                <c:pt idx="10">
                  <c:v>54.3</c:v>
                </c:pt>
                <c:pt idx="11">
                  <c:v>69.5</c:v>
                </c:pt>
                <c:pt idx="12">
                  <c:v>63.724999999999994</c:v>
                </c:pt>
                <c:pt idx="13">
                  <c:v>84.5</c:v>
                </c:pt>
                <c:pt idx="14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23-46ED-AD37-F734C79AA582}"/>
            </c:ext>
          </c:extLst>
        </c:ser>
        <c:ser>
          <c:idx val="3"/>
          <c:order val="3"/>
          <c:tx>
            <c:strRef>
              <c:f>Sheet1!$F$1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Sheet1!$A$2:$B$37</c:f>
              <c:multiLvlStrCache>
                <c:ptCount val="1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  <c:pt idx="12">
                    <c:v>Average</c:v>
                  </c:pt>
                  <c:pt idx="13">
                    <c:v>Maximum</c:v>
                  </c:pt>
                  <c:pt idx="14">
                    <c:v>Minimum</c:v>
                  </c:pt>
                </c:lvl>
              </c:multiLvlStrCache>
            </c:multiLvlStrRef>
          </c:cat>
          <c:val>
            <c:numRef>
              <c:f>Sheet1!$F$2:$F$37</c:f>
              <c:numCache>
                <c:formatCode>General</c:formatCode>
                <c:ptCount val="36"/>
                <c:pt idx="0">
                  <c:v>16.3</c:v>
                </c:pt>
                <c:pt idx="1">
                  <c:v>16.3</c:v>
                </c:pt>
                <c:pt idx="2">
                  <c:v>6.5</c:v>
                </c:pt>
                <c:pt idx="3">
                  <c:v>18.5</c:v>
                </c:pt>
                <c:pt idx="4">
                  <c:v>12.6</c:v>
                </c:pt>
                <c:pt idx="5">
                  <c:v>17.399999999999999</c:v>
                </c:pt>
                <c:pt idx="6">
                  <c:v>9.8000000000000007</c:v>
                </c:pt>
                <c:pt idx="7">
                  <c:v>18.399999999999999</c:v>
                </c:pt>
                <c:pt idx="8">
                  <c:v>10.8</c:v>
                </c:pt>
                <c:pt idx="9">
                  <c:v>5.2</c:v>
                </c:pt>
                <c:pt idx="10">
                  <c:v>18.600000000000001</c:v>
                </c:pt>
                <c:pt idx="11">
                  <c:v>6.4</c:v>
                </c:pt>
                <c:pt idx="12">
                  <c:v>13.066666666666665</c:v>
                </c:pt>
                <c:pt idx="13">
                  <c:v>18.600000000000001</c:v>
                </c:pt>
                <c:pt idx="14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23-46ED-AD37-F734C79AA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342960"/>
        <c:axId val="471345840"/>
      </c:barChart>
      <c:catAx>
        <c:axId val="47134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45840"/>
        <c:crosses val="autoZero"/>
        <c:auto val="1"/>
        <c:lblAlgn val="ctr"/>
        <c:lblOffset val="100"/>
        <c:noMultiLvlLbl val="0"/>
      </c:catAx>
      <c:valAx>
        <c:axId val="47134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4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27.5</c:v>
                </c:pt>
                <c:pt idx="1">
                  <c:v>24.3</c:v>
                </c:pt>
                <c:pt idx="2">
                  <c:v>28.2</c:v>
                </c:pt>
                <c:pt idx="3">
                  <c:v>32.6</c:v>
                </c:pt>
                <c:pt idx="4">
                  <c:v>23.8</c:v>
                </c:pt>
                <c:pt idx="5">
                  <c:v>23.8</c:v>
                </c:pt>
                <c:pt idx="6">
                  <c:v>32.9</c:v>
                </c:pt>
                <c:pt idx="7">
                  <c:v>28.8</c:v>
                </c:pt>
                <c:pt idx="8">
                  <c:v>22.7</c:v>
                </c:pt>
                <c:pt idx="9">
                  <c:v>27.7</c:v>
                </c:pt>
                <c:pt idx="10">
                  <c:v>22.7</c:v>
                </c:pt>
                <c:pt idx="11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4CC8-9DB0-D6B6C823B2D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Sheet1!$D$2:$D$13</c:f>
              <c:numCache>
                <c:formatCode>General</c:formatCode>
                <c:ptCount val="12"/>
                <c:pt idx="0">
                  <c:v>71.3</c:v>
                </c:pt>
                <c:pt idx="1">
                  <c:v>218.5</c:v>
                </c:pt>
                <c:pt idx="2">
                  <c:v>110.3</c:v>
                </c:pt>
                <c:pt idx="3">
                  <c:v>189.7</c:v>
                </c:pt>
                <c:pt idx="4">
                  <c:v>190.1</c:v>
                </c:pt>
                <c:pt idx="5">
                  <c:v>160.69999999999999</c:v>
                </c:pt>
                <c:pt idx="6">
                  <c:v>27.1</c:v>
                </c:pt>
                <c:pt idx="7">
                  <c:v>250.6</c:v>
                </c:pt>
                <c:pt idx="8">
                  <c:v>96.2</c:v>
                </c:pt>
                <c:pt idx="9">
                  <c:v>56</c:v>
                </c:pt>
                <c:pt idx="10">
                  <c:v>12.2</c:v>
                </c:pt>
                <c:pt idx="11">
                  <c:v>177.3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6-4CC8-9DB0-D6B6C823B2D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Sheet1!$E$2:$E$13</c:f>
              <c:numCache>
                <c:formatCode>General</c:formatCode>
                <c:ptCount val="12"/>
                <c:pt idx="0">
                  <c:v>75.099999999999994</c:v>
                </c:pt>
                <c:pt idx="1">
                  <c:v>79.8</c:v>
                </c:pt>
                <c:pt idx="2">
                  <c:v>84.5</c:v>
                </c:pt>
                <c:pt idx="3">
                  <c:v>56.9</c:v>
                </c:pt>
                <c:pt idx="4">
                  <c:v>58.8</c:v>
                </c:pt>
                <c:pt idx="5">
                  <c:v>44.7</c:v>
                </c:pt>
                <c:pt idx="6">
                  <c:v>68.900000000000006</c:v>
                </c:pt>
                <c:pt idx="7">
                  <c:v>41.8</c:v>
                </c:pt>
                <c:pt idx="8">
                  <c:v>63.3</c:v>
                </c:pt>
                <c:pt idx="9">
                  <c:v>67.099999999999994</c:v>
                </c:pt>
                <c:pt idx="10">
                  <c:v>54.3</c:v>
                </c:pt>
                <c:pt idx="11">
                  <c:v>69.5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46-4CC8-9DB0-D6B6C823B2D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Sheet1!$A$2:$B$13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2015</c:v>
                  </c:pt>
                  <c:pt idx="1">
                    <c:v>2015</c:v>
                  </c:pt>
                  <c:pt idx="2">
                    <c:v>2015</c:v>
                  </c:pt>
                  <c:pt idx="3">
                    <c:v>2015</c:v>
                  </c:pt>
                  <c:pt idx="4">
                    <c:v>2015</c:v>
                  </c:pt>
                  <c:pt idx="5">
                    <c:v>2015</c:v>
                  </c:pt>
                  <c:pt idx="6">
                    <c:v>2015</c:v>
                  </c:pt>
                  <c:pt idx="7">
                    <c:v>2015</c:v>
                  </c:pt>
                  <c:pt idx="8">
                    <c:v>2015</c:v>
                  </c:pt>
                  <c:pt idx="9">
                    <c:v>2015</c:v>
                  </c:pt>
                  <c:pt idx="10">
                    <c:v>2015</c:v>
                  </c:pt>
                  <c:pt idx="11">
                    <c:v>2015</c:v>
                  </c:pt>
                </c:lvl>
              </c:multiLvlStrCache>
            </c:multiLvlStrRef>
          </c:cat>
          <c:val>
            <c:numRef>
              <c:f>Sheet1!$F$2:$F$13</c:f>
              <c:numCache>
                <c:formatCode>General</c:formatCode>
                <c:ptCount val="12"/>
                <c:pt idx="0">
                  <c:v>16.3</c:v>
                </c:pt>
                <c:pt idx="1">
                  <c:v>16.3</c:v>
                </c:pt>
                <c:pt idx="2">
                  <c:v>6.5</c:v>
                </c:pt>
                <c:pt idx="3">
                  <c:v>18.5</c:v>
                </c:pt>
                <c:pt idx="4">
                  <c:v>12.6</c:v>
                </c:pt>
                <c:pt idx="5">
                  <c:v>17.399999999999999</c:v>
                </c:pt>
                <c:pt idx="6">
                  <c:v>9.8000000000000007</c:v>
                </c:pt>
                <c:pt idx="7">
                  <c:v>18.399999999999999</c:v>
                </c:pt>
                <c:pt idx="8">
                  <c:v>10.8</c:v>
                </c:pt>
                <c:pt idx="9">
                  <c:v>5.2</c:v>
                </c:pt>
                <c:pt idx="10">
                  <c:v>18.600000000000001</c:v>
                </c:pt>
                <c:pt idx="11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46-4CC8-9DB0-D6B6C823B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9821999"/>
        <c:axId val="1909818159"/>
      </c:barChart>
      <c:catAx>
        <c:axId val="1909821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18159"/>
        <c:crosses val="autoZero"/>
        <c:auto val="1"/>
        <c:lblAlgn val="ctr"/>
        <c:lblOffset val="100"/>
        <c:noMultiLvlLbl val="0"/>
      </c:catAx>
      <c:valAx>
        <c:axId val="1909818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2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37</xdr:row>
      <xdr:rowOff>167640</xdr:rowOff>
    </xdr:from>
    <xdr:to>
      <xdr:col>18</xdr:col>
      <xdr:colOff>525780</xdr:colOff>
      <xdr:row>65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56E272-1858-8498-1CAD-D966DE7F8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388620</xdr:colOff>
      <xdr:row>3</xdr:row>
      <xdr:rowOff>38100</xdr:rowOff>
    </xdr:from>
    <xdr:to>
      <xdr:col>17</xdr:col>
      <xdr:colOff>472440</xdr:colOff>
      <xdr:row>23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E9CEFC-100C-9F89-79A3-2F2E1091C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6D29-B289-4DD7-B412-1ED5D291DE5C}"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F9695-EF93-4BE5-B238-8F79D250E69B}">
  <dimension ref="A1:F17"/>
  <sheetViews>
    <sheetView tabSelected="1" workbookViewId="0">
      <selection activeCell="F18" sqref="F18"/>
    </sheetView>
  </sheetViews>
  <sheetFormatPr defaultRowHeight="14.4" x14ac:dyDescent="0.3"/>
  <cols>
    <col min="3" max="3" width="18.5546875" customWidth="1"/>
    <col min="4" max="4" width="14.77734375" customWidth="1"/>
    <col min="5" max="5" width="12.44140625" customWidth="1"/>
    <col min="6" max="6" width="17.33203125" customWidth="1"/>
    <col min="7" max="7" width="9.6640625" customWidth="1"/>
  </cols>
  <sheetData>
    <row r="1" spans="1:6" x14ac:dyDescent="0.3">
      <c r="A1" t="s">
        <v>0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6" x14ac:dyDescent="0.3">
      <c r="A2">
        <v>2015</v>
      </c>
      <c r="B2" t="s">
        <v>1</v>
      </c>
      <c r="C2">
        <v>27.5</v>
      </c>
      <c r="D2">
        <v>71.3</v>
      </c>
      <c r="E2">
        <v>75.099999999999994</v>
      </c>
      <c r="F2">
        <v>16.3</v>
      </c>
    </row>
    <row r="3" spans="1:6" x14ac:dyDescent="0.3">
      <c r="A3">
        <v>2015</v>
      </c>
      <c r="B3" t="s">
        <v>2</v>
      </c>
      <c r="C3">
        <v>24.3</v>
      </c>
      <c r="D3">
        <v>218.5</v>
      </c>
      <c r="E3">
        <v>79.8</v>
      </c>
      <c r="F3">
        <v>16.3</v>
      </c>
    </row>
    <row r="4" spans="1:6" x14ac:dyDescent="0.3">
      <c r="A4">
        <v>2015</v>
      </c>
      <c r="B4" t="s">
        <v>3</v>
      </c>
      <c r="C4">
        <v>28.2</v>
      </c>
      <c r="D4">
        <v>110.3</v>
      </c>
      <c r="E4">
        <v>84.5</v>
      </c>
      <c r="F4">
        <v>6.5</v>
      </c>
    </row>
    <row r="5" spans="1:6" x14ac:dyDescent="0.3">
      <c r="A5">
        <v>2015</v>
      </c>
      <c r="B5" t="s">
        <v>4</v>
      </c>
      <c r="C5">
        <v>32.6</v>
      </c>
      <c r="D5">
        <v>189.7</v>
      </c>
      <c r="E5">
        <v>56.9</v>
      </c>
      <c r="F5">
        <v>18.5</v>
      </c>
    </row>
    <row r="6" spans="1:6" x14ac:dyDescent="0.3">
      <c r="A6">
        <v>2015</v>
      </c>
      <c r="B6" t="s">
        <v>5</v>
      </c>
      <c r="C6">
        <v>23.8</v>
      </c>
      <c r="D6">
        <v>190.1</v>
      </c>
      <c r="E6">
        <v>58.8</v>
      </c>
      <c r="F6">
        <v>12.6</v>
      </c>
    </row>
    <row r="7" spans="1:6" x14ac:dyDescent="0.3">
      <c r="A7">
        <v>2015</v>
      </c>
      <c r="B7" t="s">
        <v>6</v>
      </c>
      <c r="C7">
        <v>23.8</v>
      </c>
      <c r="D7">
        <v>160.69999999999999</v>
      </c>
      <c r="E7">
        <v>44.7</v>
      </c>
      <c r="F7">
        <v>17.399999999999999</v>
      </c>
    </row>
    <row r="8" spans="1:6" x14ac:dyDescent="0.3">
      <c r="A8">
        <v>2015</v>
      </c>
      <c r="B8" t="s">
        <v>7</v>
      </c>
      <c r="C8">
        <v>32.9</v>
      </c>
      <c r="D8">
        <v>27.1</v>
      </c>
      <c r="E8">
        <v>68.900000000000006</v>
      </c>
      <c r="F8">
        <v>9.8000000000000007</v>
      </c>
    </row>
    <row r="9" spans="1:6" x14ac:dyDescent="0.3">
      <c r="A9">
        <v>2015</v>
      </c>
      <c r="B9" t="s">
        <v>8</v>
      </c>
      <c r="C9">
        <v>28.8</v>
      </c>
      <c r="D9">
        <v>250.6</v>
      </c>
      <c r="E9">
        <v>41.8</v>
      </c>
      <c r="F9">
        <v>18.399999999999999</v>
      </c>
    </row>
    <row r="10" spans="1:6" x14ac:dyDescent="0.3">
      <c r="A10">
        <v>2015</v>
      </c>
      <c r="B10" t="s">
        <v>9</v>
      </c>
      <c r="C10">
        <v>22.7</v>
      </c>
      <c r="D10">
        <v>96.2</v>
      </c>
      <c r="E10">
        <v>63.3</v>
      </c>
      <c r="F10">
        <v>10.8</v>
      </c>
    </row>
    <row r="11" spans="1:6" x14ac:dyDescent="0.3">
      <c r="A11">
        <v>2015</v>
      </c>
      <c r="B11" t="s">
        <v>10</v>
      </c>
      <c r="C11">
        <v>27.7</v>
      </c>
      <c r="D11">
        <v>56</v>
      </c>
      <c r="E11">
        <v>67.099999999999994</v>
      </c>
      <c r="F11">
        <v>5.2</v>
      </c>
    </row>
    <row r="12" spans="1:6" x14ac:dyDescent="0.3">
      <c r="A12">
        <v>2015</v>
      </c>
      <c r="B12" t="s">
        <v>11</v>
      </c>
      <c r="C12">
        <v>22.7</v>
      </c>
      <c r="D12">
        <v>12.2</v>
      </c>
      <c r="E12">
        <v>54.3</v>
      </c>
      <c r="F12">
        <v>18.600000000000001</v>
      </c>
    </row>
    <row r="13" spans="1:6" x14ac:dyDescent="0.3">
      <c r="A13">
        <v>2015</v>
      </c>
      <c r="B13" t="s">
        <v>12</v>
      </c>
      <c r="C13">
        <v>22.7</v>
      </c>
      <c r="D13">
        <v>177.3</v>
      </c>
      <c r="E13">
        <v>69.5</v>
      </c>
      <c r="F13">
        <v>6.4</v>
      </c>
    </row>
    <row r="14" spans="1:6" x14ac:dyDescent="0.3">
      <c r="A14" s="2" t="s">
        <v>18</v>
      </c>
      <c r="B14" s="2"/>
      <c r="C14" s="4">
        <f>AVERAGE(C2:C13)</f>
        <v>26.474999999999998</v>
      </c>
      <c r="D14" s="4">
        <f>AVERAGE(D2:D13)</f>
        <v>130</v>
      </c>
      <c r="E14" s="4">
        <f>AVERAGE(E2:E13)</f>
        <v>63.724999999999994</v>
      </c>
      <c r="F14" s="4">
        <f>AVERAGE(F2:F13)</f>
        <v>13.066666666666665</v>
      </c>
    </row>
    <row r="15" spans="1:6" x14ac:dyDescent="0.3">
      <c r="A15" s="3" t="s">
        <v>19</v>
      </c>
      <c r="B15" s="3"/>
      <c r="C15" s="5">
        <f>MAX(C2:C13)</f>
        <v>32.9</v>
      </c>
      <c r="D15" s="5">
        <f>MAX(D2:D13)</f>
        <v>250.6</v>
      </c>
      <c r="E15" s="5">
        <f>MAX(E2:E13)</f>
        <v>84.5</v>
      </c>
      <c r="F15" s="5">
        <f>MAX(F2:F13)</f>
        <v>18.600000000000001</v>
      </c>
    </row>
    <row r="16" spans="1:6" x14ac:dyDescent="0.3">
      <c r="A16" s="3" t="s">
        <v>20</v>
      </c>
      <c r="B16" s="3"/>
      <c r="C16">
        <f>MIN(C2:C13)</f>
        <v>22.7</v>
      </c>
      <c r="D16">
        <f>MIN(D2:D13)</f>
        <v>12.2</v>
      </c>
      <c r="E16">
        <f>MIN(E2:E13)</f>
        <v>41.8</v>
      </c>
      <c r="F16">
        <f>MIN(F2:F13)</f>
        <v>5.2</v>
      </c>
    </row>
    <row r="17" spans="1:3" x14ac:dyDescent="0.3">
      <c r="A17" s="1"/>
      <c r="B17" s="1"/>
      <c r="C17" t="s">
        <v>21</v>
      </c>
    </row>
  </sheetData>
  <mergeCells count="4">
    <mergeCell ref="A14:B14"/>
    <mergeCell ref="A15:B15"/>
    <mergeCell ref="A16:B16"/>
    <mergeCell ref="A17:B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Singh</dc:creator>
  <cp:lastModifiedBy>Gaurav Singh</cp:lastModifiedBy>
  <dcterms:created xsi:type="dcterms:W3CDTF">2025-04-14T15:26:29Z</dcterms:created>
  <dcterms:modified xsi:type="dcterms:W3CDTF">2025-04-16T07:53:48Z</dcterms:modified>
</cp:coreProperties>
</file>